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sc 2\Documents\"/>
    </mc:Choice>
  </mc:AlternateContent>
  <bookViews>
    <workbookView xWindow="0" yWindow="0" windowWidth="11685" windowHeight="7200" firstSheet="1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3" l="1"/>
  <c r="D13" i="3"/>
  <c r="D12" i="3"/>
  <c r="D11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" i="2"/>
  <c r="D2" i="3"/>
  <c r="D3" i="3"/>
  <c r="D4" i="3"/>
  <c r="D5" i="3"/>
  <c r="D6" i="3"/>
  <c r="D7" i="3"/>
  <c r="D8" i="3"/>
  <c r="D9" i="3"/>
  <c r="D10" i="3"/>
  <c r="D1" i="3"/>
  <c r="C12" i="3"/>
  <c r="C11" i="3"/>
  <c r="C2" i="3"/>
  <c r="C3" i="3"/>
  <c r="C4" i="3"/>
  <c r="C5" i="3"/>
  <c r="C6" i="3"/>
  <c r="C7" i="3"/>
  <c r="C8" i="3"/>
  <c r="C9" i="3"/>
  <c r="C10" i="3"/>
  <c r="C1" i="3"/>
  <c r="B15" i="2"/>
  <c r="A16" i="2"/>
  <c r="A15" i="2"/>
  <c r="D13" i="1"/>
  <c r="D12" i="1"/>
  <c r="D11" i="1"/>
  <c r="D10" i="1"/>
  <c r="D2" i="1"/>
  <c r="D3" i="1"/>
  <c r="D4" i="1"/>
  <c r="D5" i="1"/>
  <c r="D6" i="1"/>
  <c r="D7" i="1"/>
  <c r="D8" i="1"/>
  <c r="D9" i="1"/>
  <c r="D1" i="1"/>
  <c r="C11" i="1"/>
  <c r="C10" i="1"/>
  <c r="C2" i="1"/>
  <c r="C3" i="1"/>
  <c r="C4" i="1"/>
  <c r="C5" i="1"/>
  <c r="C6" i="1"/>
  <c r="C7" i="1"/>
  <c r="C8" i="1"/>
  <c r="C9" i="1"/>
  <c r="C1" i="1"/>
  <c r="C15" i="2" l="1"/>
  <c r="C16" i="2" s="1"/>
  <c r="C17" i="2" s="1"/>
</calcChain>
</file>

<file path=xl/sharedStrings.xml><?xml version="1.0" encoding="utf-8"?>
<sst xmlns="http://schemas.openxmlformats.org/spreadsheetml/2006/main" count="14" uniqueCount="13">
  <si>
    <t>D BAR</t>
  </si>
  <si>
    <t>VARIANCE</t>
  </si>
  <si>
    <t>SD</t>
  </si>
  <si>
    <t>TEST STAT</t>
  </si>
  <si>
    <t>T TABLE</t>
  </si>
  <si>
    <t>REJECT H0</t>
  </si>
  <si>
    <t>VAR</t>
  </si>
  <si>
    <t>STD</t>
  </si>
  <si>
    <t>D Br</t>
  </si>
  <si>
    <t>sd</t>
  </si>
  <si>
    <t>t test</t>
  </si>
  <si>
    <t>10-57 question</t>
  </si>
  <si>
    <t>2 tail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</si>
</sst>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E16" sqref="E16"/>
    </sheetView>
  </sheetViews>
  <sheetFormatPr defaultRowHeight="15" x14ac:dyDescent="0.25"/>
  <sheetData>
    <row r="1" spans="1:5" x14ac:dyDescent="0.25">
      <c r="A1">
        <v>1.1859999999999999</v>
      </c>
      <c r="B1">
        <v>1.0609999999999999</v>
      </c>
      <c r="C1">
        <f>A1-B1</f>
        <v>0.125</v>
      </c>
      <c r="D1">
        <f>(C1-$C$11)^2</f>
        <v>2.216790123456789E-2</v>
      </c>
    </row>
    <row r="2" spans="1:5" x14ac:dyDescent="0.25">
      <c r="A2">
        <v>1.151</v>
      </c>
      <c r="B2">
        <v>0.99199999999999999</v>
      </c>
      <c r="C2">
        <f t="shared" ref="C2:C9" si="0">A2-B2</f>
        <v>0.15900000000000003</v>
      </c>
      <c r="D2">
        <f t="shared" ref="D2:D9" si="1">(C2-$C$11)^2</f>
        <v>1.3199456790123441E-2</v>
      </c>
    </row>
    <row r="3" spans="1:5" x14ac:dyDescent="0.25">
      <c r="A3">
        <v>1.3220000000000001</v>
      </c>
      <c r="B3">
        <v>1.0629999999999999</v>
      </c>
      <c r="C3">
        <f t="shared" si="0"/>
        <v>0.25900000000000012</v>
      </c>
      <c r="D3">
        <f t="shared" si="1"/>
        <v>2.2167901234567425E-4</v>
      </c>
    </row>
    <row r="4" spans="1:5" x14ac:dyDescent="0.25">
      <c r="A4">
        <v>1.339</v>
      </c>
      <c r="B4">
        <v>1.0620000000000001</v>
      </c>
      <c r="C4">
        <f t="shared" si="0"/>
        <v>0.27699999999999991</v>
      </c>
      <c r="D4">
        <f t="shared" si="1"/>
        <v>9.6790123456787226E-6</v>
      </c>
    </row>
    <row r="5" spans="1:5" x14ac:dyDescent="0.25">
      <c r="A5">
        <v>1.2</v>
      </c>
      <c r="B5">
        <v>1.0649999999999999</v>
      </c>
      <c r="C5">
        <f t="shared" si="0"/>
        <v>0.13500000000000001</v>
      </c>
      <c r="D5">
        <f t="shared" si="1"/>
        <v>1.9290123456790109E-2</v>
      </c>
    </row>
    <row r="6" spans="1:5" x14ac:dyDescent="0.25">
      <c r="A6">
        <v>1.4019999999999999</v>
      </c>
      <c r="B6">
        <v>1.1779999999999999</v>
      </c>
      <c r="C6">
        <f t="shared" si="0"/>
        <v>0.22399999999999998</v>
      </c>
      <c r="D6">
        <f t="shared" si="1"/>
        <v>2.4889012345678994E-3</v>
      </c>
    </row>
    <row r="7" spans="1:5" x14ac:dyDescent="0.25">
      <c r="A7">
        <v>1.365</v>
      </c>
      <c r="B7">
        <v>1.0369999999999999</v>
      </c>
      <c r="C7">
        <f t="shared" si="0"/>
        <v>0.32800000000000007</v>
      </c>
      <c r="D7">
        <f t="shared" si="1"/>
        <v>2.9280123456790243E-3</v>
      </c>
    </row>
    <row r="8" spans="1:5" x14ac:dyDescent="0.25">
      <c r="A8">
        <v>1.5369999999999999</v>
      </c>
      <c r="B8">
        <v>1.0860000000000001</v>
      </c>
      <c r="C8">
        <f t="shared" si="0"/>
        <v>0.45099999999999985</v>
      </c>
      <c r="D8">
        <f t="shared" si="1"/>
        <v>3.1368345679012304E-2</v>
      </c>
    </row>
    <row r="9" spans="1:5" x14ac:dyDescent="0.25">
      <c r="A9">
        <v>1.5589999999999999</v>
      </c>
      <c r="B9">
        <v>1.052</v>
      </c>
      <c r="C9">
        <f t="shared" si="0"/>
        <v>0.5069999999999999</v>
      </c>
      <c r="D9">
        <f t="shared" si="1"/>
        <v>5.4340790123456759E-2</v>
      </c>
    </row>
    <row r="10" spans="1:5" x14ac:dyDescent="0.25">
      <c r="C10">
        <f>SUM(C1:C9)</f>
        <v>2.4649999999999999</v>
      </c>
      <c r="D10">
        <f>SUM(D1:D9)</f>
        <v>0.14601488888888881</v>
      </c>
    </row>
    <row r="11" spans="1:5" x14ac:dyDescent="0.25">
      <c r="B11" t="s">
        <v>0</v>
      </c>
      <c r="C11">
        <f>C10/9</f>
        <v>0.27388888888888885</v>
      </c>
      <c r="D11">
        <f>D10/8</f>
        <v>1.8251861111111101E-2</v>
      </c>
      <c r="E11" t="s">
        <v>1</v>
      </c>
    </row>
    <row r="12" spans="1:5" x14ac:dyDescent="0.25">
      <c r="D12">
        <f>SQRT(D11)</f>
        <v>0.13509944896671897</v>
      </c>
      <c r="E12" t="s">
        <v>2</v>
      </c>
    </row>
    <row r="13" spans="1:5" x14ac:dyDescent="0.25">
      <c r="D13">
        <f>C11*3/D12</f>
        <v>6.0819394375848255</v>
      </c>
      <c r="E13" t="s">
        <v>3</v>
      </c>
    </row>
    <row r="16" spans="1:5" x14ac:dyDescent="0.25">
      <c r="C16">
        <v>1.86</v>
      </c>
      <c r="D16" t="s">
        <v>4</v>
      </c>
      <c r="E1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C17" sqref="C17"/>
    </sheetView>
  </sheetViews>
  <sheetFormatPr defaultRowHeight="15" x14ac:dyDescent="0.25"/>
  <sheetData>
    <row r="1" spans="1:4" x14ac:dyDescent="0.25">
      <c r="A1">
        <v>19.2</v>
      </c>
      <c r="C1">
        <f>(A1-$A$16)^2</f>
        <v>323.48591836734687</v>
      </c>
    </row>
    <row r="2" spans="1:4" x14ac:dyDescent="0.25">
      <c r="A2">
        <v>5.6</v>
      </c>
      <c r="C2">
        <f t="shared" ref="C2:C14" si="0">(A2-$A$16)^2</f>
        <v>19.234489795918371</v>
      </c>
    </row>
    <row r="3" spans="1:4" x14ac:dyDescent="0.25">
      <c r="A3">
        <v>-0.6</v>
      </c>
      <c r="C3">
        <f t="shared" si="0"/>
        <v>3.2916326530612219</v>
      </c>
    </row>
    <row r="4" spans="1:4" x14ac:dyDescent="0.25">
      <c r="A4">
        <v>-17.2</v>
      </c>
      <c r="C4">
        <f t="shared" si="0"/>
        <v>339.08591836734695</v>
      </c>
    </row>
    <row r="5" spans="1:4" x14ac:dyDescent="0.25">
      <c r="A5">
        <v>0.6</v>
      </c>
      <c r="C5">
        <f t="shared" si="0"/>
        <v>0.37734693877550957</v>
      </c>
    </row>
    <row r="6" spans="1:4" x14ac:dyDescent="0.25">
      <c r="A6">
        <v>-5</v>
      </c>
      <c r="C6">
        <f t="shared" si="0"/>
        <v>38.617346938775498</v>
      </c>
    </row>
    <row r="7" spans="1:4" x14ac:dyDescent="0.25">
      <c r="A7">
        <v>7</v>
      </c>
      <c r="C7">
        <f t="shared" si="0"/>
        <v>33.474489795918373</v>
      </c>
    </row>
    <row r="8" spans="1:4" x14ac:dyDescent="0.25">
      <c r="A8">
        <v>26</v>
      </c>
      <c r="C8">
        <f t="shared" si="0"/>
        <v>614.33163265306121</v>
      </c>
    </row>
    <row r="9" spans="1:4" x14ac:dyDescent="0.25">
      <c r="A9">
        <v>5.8</v>
      </c>
      <c r="C9">
        <f t="shared" si="0"/>
        <v>21.028775510204088</v>
      </c>
    </row>
    <row r="10" spans="1:4" x14ac:dyDescent="0.25">
      <c r="A10">
        <v>1.2</v>
      </c>
      <c r="C10">
        <f t="shared" si="0"/>
        <v>2.0408163265304708E-4</v>
      </c>
    </row>
    <row r="11" spans="1:4" x14ac:dyDescent="0.25">
      <c r="A11">
        <v>-6.2</v>
      </c>
      <c r="C11">
        <f t="shared" si="0"/>
        <v>54.971632653061214</v>
      </c>
    </row>
    <row r="12" spans="1:4" x14ac:dyDescent="0.25">
      <c r="A12">
        <v>0.6</v>
      </c>
      <c r="C12">
        <f t="shared" si="0"/>
        <v>0.37734693877550957</v>
      </c>
    </row>
    <row r="13" spans="1:4" x14ac:dyDescent="0.25">
      <c r="A13">
        <v>4</v>
      </c>
      <c r="C13">
        <f t="shared" si="0"/>
        <v>7.760204081632657</v>
      </c>
    </row>
    <row r="14" spans="1:4" x14ac:dyDescent="0.25">
      <c r="A14">
        <v>-24</v>
      </c>
      <c r="C14">
        <f t="shared" si="0"/>
        <v>635.76020408163265</v>
      </c>
    </row>
    <row r="15" spans="1:4" x14ac:dyDescent="0.25">
      <c r="A15">
        <f>SUM(A1:A14)</f>
        <v>16.999999999999993</v>
      </c>
      <c r="B15">
        <f t="shared" ref="B15:C15" si="1">SUM(B1:B14)</f>
        <v>0</v>
      </c>
      <c r="C15">
        <f t="shared" si="1"/>
        <v>2091.7971428571427</v>
      </c>
    </row>
    <row r="16" spans="1:4" x14ac:dyDescent="0.25">
      <c r="A16">
        <f>A15/14</f>
        <v>1.2142857142857137</v>
      </c>
      <c r="B16" t="s">
        <v>0</v>
      </c>
      <c r="C16">
        <f>C15/13</f>
        <v>160.90747252747252</v>
      </c>
      <c r="D16" t="s">
        <v>6</v>
      </c>
    </row>
    <row r="17" spans="3:4" x14ac:dyDescent="0.25">
      <c r="C17">
        <f>SQRT(C16)</f>
        <v>12.684930923244025</v>
      </c>
      <c r="D17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D14" sqref="D14"/>
    </sheetView>
  </sheetViews>
  <sheetFormatPr defaultRowHeight="15" x14ac:dyDescent="0.25"/>
  <sheetData>
    <row r="1" spans="1:6" x14ac:dyDescent="0.25">
      <c r="A1">
        <v>6.08</v>
      </c>
      <c r="B1">
        <v>5.73</v>
      </c>
      <c r="C1">
        <f>A1-B1</f>
        <v>0.34999999999999964</v>
      </c>
      <c r="D1">
        <f>(C1-$C$12)^2</f>
        <v>0.16080099999999961</v>
      </c>
    </row>
    <row r="2" spans="1:6" x14ac:dyDescent="0.25">
      <c r="A2">
        <v>6.22</v>
      </c>
      <c r="B2">
        <v>5.8</v>
      </c>
      <c r="C2">
        <f t="shared" ref="C2:C10" si="0">A2-B2</f>
        <v>0.41999999999999993</v>
      </c>
      <c r="D2">
        <f t="shared" ref="D2:D10" si="1">(C2-$C$12)^2</f>
        <v>0.22184099999999982</v>
      </c>
    </row>
    <row r="3" spans="1:6" x14ac:dyDescent="0.25">
      <c r="A3">
        <v>7.99</v>
      </c>
      <c r="B3">
        <v>8.42</v>
      </c>
      <c r="C3">
        <f t="shared" si="0"/>
        <v>-0.42999999999999972</v>
      </c>
      <c r="D3">
        <f t="shared" si="1"/>
        <v>0.14364099999999988</v>
      </c>
      <c r="F3" t="s">
        <v>11</v>
      </c>
    </row>
    <row r="4" spans="1:6" x14ac:dyDescent="0.25">
      <c r="A4">
        <v>7.44</v>
      </c>
      <c r="B4">
        <v>6.84</v>
      </c>
      <c r="C4">
        <f t="shared" si="0"/>
        <v>0.60000000000000053</v>
      </c>
      <c r="D4">
        <f t="shared" si="1"/>
        <v>0.42380100000000059</v>
      </c>
    </row>
    <row r="5" spans="1:6" x14ac:dyDescent="0.25">
      <c r="A5">
        <v>6.48</v>
      </c>
      <c r="B5">
        <v>6.43</v>
      </c>
      <c r="C5">
        <f t="shared" si="0"/>
        <v>5.0000000000000711E-2</v>
      </c>
      <c r="D5">
        <f t="shared" si="1"/>
        <v>1.0201000000000121E-2</v>
      </c>
    </row>
    <row r="6" spans="1:6" x14ac:dyDescent="0.25">
      <c r="A6">
        <v>7.99</v>
      </c>
      <c r="B6">
        <v>8.76</v>
      </c>
      <c r="C6">
        <f t="shared" si="0"/>
        <v>-0.76999999999999957</v>
      </c>
      <c r="D6">
        <f t="shared" si="1"/>
        <v>0.51696099999999945</v>
      </c>
    </row>
    <row r="7" spans="1:6" x14ac:dyDescent="0.25">
      <c r="A7">
        <v>6.32</v>
      </c>
      <c r="B7">
        <v>6.32</v>
      </c>
      <c r="C7">
        <f t="shared" si="0"/>
        <v>0</v>
      </c>
      <c r="D7">
        <f t="shared" si="1"/>
        <v>2.6009999999999892E-3</v>
      </c>
    </row>
    <row r="8" spans="1:6" x14ac:dyDescent="0.25">
      <c r="A8">
        <v>7.6</v>
      </c>
      <c r="B8">
        <v>7.62</v>
      </c>
      <c r="C8">
        <f t="shared" si="0"/>
        <v>-2.0000000000000462E-2</v>
      </c>
      <c r="D8">
        <f t="shared" si="1"/>
        <v>9.609999999999647E-4</v>
      </c>
    </row>
    <row r="9" spans="1:6" x14ac:dyDescent="0.25">
      <c r="A9">
        <v>6.03</v>
      </c>
      <c r="B9">
        <v>6.59</v>
      </c>
      <c r="C9">
        <f t="shared" si="0"/>
        <v>-0.55999999999999961</v>
      </c>
      <c r="D9">
        <f t="shared" si="1"/>
        <v>0.25908099999999967</v>
      </c>
    </row>
    <row r="10" spans="1:6" x14ac:dyDescent="0.25">
      <c r="A10">
        <v>7.52</v>
      </c>
      <c r="B10">
        <v>7.67</v>
      </c>
      <c r="C10">
        <f t="shared" si="0"/>
        <v>-0.15000000000000036</v>
      </c>
      <c r="D10">
        <f t="shared" si="1"/>
        <v>9.8010000000000909E-3</v>
      </c>
    </row>
    <row r="11" spans="1:6" x14ac:dyDescent="0.25">
      <c r="C11">
        <f>SUM(C1:C10)</f>
        <v>-0.5099999999999989</v>
      </c>
      <c r="D11">
        <f>SUM(D1:D10)</f>
        <v>1.7496899999999995</v>
      </c>
    </row>
    <row r="12" spans="1:6" x14ac:dyDescent="0.25">
      <c r="B12" t="s">
        <v>8</v>
      </c>
      <c r="C12">
        <f>C11/10</f>
        <v>-5.0999999999999893E-2</v>
      </c>
      <c r="D12">
        <f>D11/9</f>
        <v>0.19440999999999994</v>
      </c>
    </row>
    <row r="13" spans="1:6" x14ac:dyDescent="0.25">
      <c r="C13" t="s">
        <v>9</v>
      </c>
      <c r="D13">
        <f>SQRT(D12)</f>
        <v>0.44091949378543011</v>
      </c>
    </row>
    <row r="14" spans="1:6" x14ac:dyDescent="0.25">
      <c r="B14" t="s">
        <v>12</v>
      </c>
      <c r="C14" t="s">
        <v>10</v>
      </c>
      <c r="D14">
        <f>C12*SQRT(10)/D13</f>
        <v>-0.36577235287099996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Bsc 2</dc:creator>
  <cp:lastModifiedBy>Bsc 2</cp:lastModifiedBy>
  <dcterms:created xsi:type="dcterms:W3CDTF">2024-09-09T11:04:41Z</dcterms:created>
  <dcterms:modified xsi:type="dcterms:W3CDTF">2024-09-09T11:47:01Z</dcterms:modified>
</cp:coreProperties>
</file>