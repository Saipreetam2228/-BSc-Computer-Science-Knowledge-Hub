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sc 2\Desktop\BSC2023\"/>
    </mc:Choice>
  </mc:AlternateContent>
  <bookViews>
    <workbookView xWindow="0" yWindow="0" windowWidth="15360" windowHeight="72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1" i="1"/>
  <c r="F22" i="1"/>
  <c r="F21" i="1"/>
  <c r="D2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1" i="1"/>
  <c r="C2" i="1"/>
  <c r="C3" i="1"/>
  <c r="C21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1" i="1"/>
  <c r="B21" i="1"/>
  <c r="A21" i="1"/>
</calcChain>
</file>

<file path=xl/sharedStrings.xml><?xml version="1.0" encoding="utf-8"?>
<sst xmlns="http://schemas.openxmlformats.org/spreadsheetml/2006/main" count="8" uniqueCount="8">
  <si>
    <t>sigma xi</t>
  </si>
  <si>
    <t>sigma yi</t>
  </si>
  <si>
    <t>sigma (xi yi)</t>
  </si>
  <si>
    <t>sigma xi^2</t>
  </si>
  <si>
    <t>beta0</t>
  </si>
  <si>
    <t>beta1</t>
  </si>
  <si>
    <t>sum of the error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</si>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</sst>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I7" sqref="I7"/>
    </sheetView>
  </sheetViews>
  <sheetFormatPr defaultRowHeight="15" x14ac:dyDescent="0.25"/>
  <sheetData>
    <row r="1" spans="1:9" x14ac:dyDescent="0.25">
      <c r="A1">
        <v>0.99</v>
      </c>
      <c r="B1">
        <v>90.01</v>
      </c>
      <c r="C1">
        <f>A1*B1</f>
        <v>89.10990000000001</v>
      </c>
      <c r="D1">
        <f>A1^2</f>
        <v>0.98009999999999997</v>
      </c>
      <c r="G1">
        <f>$F$22+$F$21*A1</f>
        <v>89.081319175185072</v>
      </c>
      <c r="H1">
        <f>B1-G1</f>
        <v>0.92868082481493275</v>
      </c>
      <c r="I1" t="s">
        <v>7</v>
      </c>
    </row>
    <row r="2" spans="1:9" x14ac:dyDescent="0.25">
      <c r="A2">
        <v>1.02</v>
      </c>
      <c r="B2">
        <v>89.05</v>
      </c>
      <c r="C2">
        <f t="shared" ref="C2:C20" si="0">A2*B2</f>
        <v>90.831000000000003</v>
      </c>
      <c r="D2">
        <f t="shared" ref="D2:D20" si="1">A2^2</f>
        <v>1.0404</v>
      </c>
      <c r="G2">
        <f t="shared" ref="G2:G20" si="2">$F$22+$F$21*A2</f>
        <v>89.529743567148415</v>
      </c>
      <c r="H2">
        <f t="shared" ref="H2:H20" si="3">B2-G2</f>
        <v>-0.47974356714841804</v>
      </c>
    </row>
    <row r="3" spans="1:9" x14ac:dyDescent="0.25">
      <c r="A3">
        <v>1.1499999999999999</v>
      </c>
      <c r="B3">
        <v>91.43</v>
      </c>
      <c r="C3">
        <f t="shared" si="0"/>
        <v>105.14449999999999</v>
      </c>
      <c r="D3">
        <f t="shared" si="1"/>
        <v>1.3224999999999998</v>
      </c>
      <c r="G3">
        <f t="shared" si="2"/>
        <v>91.472915932322877</v>
      </c>
      <c r="H3">
        <f t="shared" si="3"/>
        <v>-4.2915932322870276E-2</v>
      </c>
    </row>
    <row r="4" spans="1:9" x14ac:dyDescent="0.25">
      <c r="A4">
        <v>1.29</v>
      </c>
      <c r="B4">
        <v>93.74</v>
      </c>
      <c r="C4">
        <f t="shared" si="0"/>
        <v>120.9246</v>
      </c>
      <c r="D4">
        <f t="shared" si="1"/>
        <v>1.6641000000000001</v>
      </c>
      <c r="G4">
        <f t="shared" si="2"/>
        <v>93.565563094818458</v>
      </c>
      <c r="H4">
        <f t="shared" si="3"/>
        <v>0.17443690518153687</v>
      </c>
    </row>
    <row r="5" spans="1:9" x14ac:dyDescent="0.25">
      <c r="A5">
        <v>1.46</v>
      </c>
      <c r="B5">
        <v>96.73</v>
      </c>
      <c r="C5">
        <f t="shared" si="0"/>
        <v>141.22579999999999</v>
      </c>
      <c r="D5">
        <f t="shared" si="1"/>
        <v>2.1315999999999997</v>
      </c>
      <c r="G5">
        <f t="shared" si="2"/>
        <v>96.106634649277396</v>
      </c>
      <c r="H5">
        <f t="shared" si="3"/>
        <v>0.62336535072260801</v>
      </c>
    </row>
    <row r="6" spans="1:9" x14ac:dyDescent="0.25">
      <c r="A6">
        <v>1.36</v>
      </c>
      <c r="B6">
        <v>94.45</v>
      </c>
      <c r="C6">
        <f t="shared" si="0"/>
        <v>128.45200000000003</v>
      </c>
      <c r="D6">
        <f t="shared" si="1"/>
        <v>1.8496000000000004</v>
      </c>
      <c r="G6">
        <f t="shared" si="2"/>
        <v>94.611886676066263</v>
      </c>
      <c r="H6">
        <f t="shared" si="3"/>
        <v>-0.16188667606625984</v>
      </c>
    </row>
    <row r="7" spans="1:9" x14ac:dyDescent="0.25">
      <c r="A7">
        <v>0.87</v>
      </c>
      <c r="B7">
        <v>87.59</v>
      </c>
      <c r="C7">
        <f t="shared" si="0"/>
        <v>76.203299999999999</v>
      </c>
      <c r="D7">
        <f t="shared" si="1"/>
        <v>0.75690000000000002</v>
      </c>
      <c r="G7">
        <f t="shared" si="2"/>
        <v>87.287621607331715</v>
      </c>
      <c r="H7">
        <f t="shared" si="3"/>
        <v>0.30237839266828814</v>
      </c>
    </row>
    <row r="8" spans="1:9" x14ac:dyDescent="0.25">
      <c r="A8">
        <v>1.23</v>
      </c>
      <c r="B8">
        <v>91.77</v>
      </c>
      <c r="C8">
        <f t="shared" si="0"/>
        <v>112.8771</v>
      </c>
      <c r="D8">
        <f t="shared" si="1"/>
        <v>1.5128999999999999</v>
      </c>
      <c r="G8">
        <f t="shared" si="2"/>
        <v>92.668714310891787</v>
      </c>
      <c r="H8">
        <f t="shared" si="3"/>
        <v>-0.89871431089179055</v>
      </c>
    </row>
    <row r="9" spans="1:9" x14ac:dyDescent="0.25">
      <c r="A9">
        <v>1.55</v>
      </c>
      <c r="B9">
        <v>99.42</v>
      </c>
      <c r="C9">
        <f t="shared" si="0"/>
        <v>154.101</v>
      </c>
      <c r="D9">
        <f t="shared" si="1"/>
        <v>2.4025000000000003</v>
      </c>
      <c r="G9">
        <f t="shared" si="2"/>
        <v>97.45190782516741</v>
      </c>
      <c r="H9">
        <f t="shared" si="3"/>
        <v>1.9680921748325915</v>
      </c>
    </row>
    <row r="10" spans="1:9" x14ac:dyDescent="0.25">
      <c r="A10">
        <v>1.4</v>
      </c>
      <c r="B10">
        <v>93.65</v>
      </c>
      <c r="C10">
        <f t="shared" si="0"/>
        <v>131.11000000000001</v>
      </c>
      <c r="D10">
        <f t="shared" si="1"/>
        <v>1.9599999999999997</v>
      </c>
      <c r="G10">
        <f t="shared" si="2"/>
        <v>95.20978586535071</v>
      </c>
      <c r="H10">
        <f t="shared" si="3"/>
        <v>-1.5597858653507046</v>
      </c>
    </row>
    <row r="11" spans="1:9" x14ac:dyDescent="0.25">
      <c r="A11">
        <v>1.19</v>
      </c>
      <c r="B11">
        <v>93.54</v>
      </c>
      <c r="C11">
        <f t="shared" si="0"/>
        <v>111.3126</v>
      </c>
      <c r="D11">
        <f t="shared" si="1"/>
        <v>1.4160999999999999</v>
      </c>
      <c r="G11">
        <f t="shared" si="2"/>
        <v>92.070815121607325</v>
      </c>
      <c r="H11">
        <f t="shared" si="3"/>
        <v>1.4691848783926815</v>
      </c>
    </row>
    <row r="12" spans="1:9" x14ac:dyDescent="0.25">
      <c r="A12">
        <v>1.1499999999999999</v>
      </c>
      <c r="B12">
        <v>92.52</v>
      </c>
      <c r="C12">
        <f t="shared" si="0"/>
        <v>106.39799999999998</v>
      </c>
      <c r="D12">
        <f t="shared" si="1"/>
        <v>1.3224999999999998</v>
      </c>
      <c r="G12">
        <f t="shared" si="2"/>
        <v>91.472915932322877</v>
      </c>
      <c r="H12">
        <f t="shared" si="3"/>
        <v>1.0470840676771189</v>
      </c>
    </row>
    <row r="13" spans="1:9" x14ac:dyDescent="0.25">
      <c r="A13">
        <v>0.98</v>
      </c>
      <c r="B13">
        <v>90.56</v>
      </c>
      <c r="C13">
        <f t="shared" si="0"/>
        <v>88.748800000000003</v>
      </c>
      <c r="D13">
        <f t="shared" si="1"/>
        <v>0.96039999999999992</v>
      </c>
      <c r="G13">
        <f t="shared" si="2"/>
        <v>88.931844377863953</v>
      </c>
      <c r="H13">
        <f t="shared" si="3"/>
        <v>1.6281556221360489</v>
      </c>
    </row>
    <row r="14" spans="1:9" x14ac:dyDescent="0.25">
      <c r="A14">
        <v>1.01</v>
      </c>
      <c r="B14">
        <v>89.54</v>
      </c>
      <c r="C14">
        <f t="shared" si="0"/>
        <v>90.435400000000001</v>
      </c>
      <c r="D14">
        <f t="shared" si="1"/>
        <v>1.0201</v>
      </c>
      <c r="G14">
        <f t="shared" si="2"/>
        <v>89.380268769827296</v>
      </c>
      <c r="H14">
        <f t="shared" si="3"/>
        <v>0.15973123017271007</v>
      </c>
    </row>
    <row r="15" spans="1:9" x14ac:dyDescent="0.25">
      <c r="A15">
        <v>1.1100000000000001</v>
      </c>
      <c r="B15">
        <v>89.85</v>
      </c>
      <c r="C15">
        <f t="shared" si="0"/>
        <v>99.733500000000006</v>
      </c>
      <c r="D15">
        <f t="shared" si="1"/>
        <v>1.2321000000000002</v>
      </c>
      <c r="G15">
        <f t="shared" si="2"/>
        <v>90.875016743038429</v>
      </c>
      <c r="H15">
        <f t="shared" si="3"/>
        <v>-1.0250167430384352</v>
      </c>
    </row>
    <row r="16" spans="1:9" x14ac:dyDescent="0.25">
      <c r="A16">
        <v>1.2</v>
      </c>
      <c r="B16">
        <v>90.39</v>
      </c>
      <c r="C16">
        <f t="shared" si="0"/>
        <v>108.468</v>
      </c>
      <c r="D16">
        <f t="shared" si="1"/>
        <v>1.44</v>
      </c>
      <c r="G16">
        <f t="shared" si="2"/>
        <v>92.220289918928444</v>
      </c>
      <c r="H16">
        <f t="shared" si="3"/>
        <v>-1.8302899189284432</v>
      </c>
    </row>
    <row r="17" spans="1:9" x14ac:dyDescent="0.25">
      <c r="A17">
        <v>1.26</v>
      </c>
      <c r="B17">
        <v>93.25</v>
      </c>
      <c r="C17">
        <f t="shared" si="0"/>
        <v>117.495</v>
      </c>
      <c r="D17">
        <f t="shared" si="1"/>
        <v>1.5876000000000001</v>
      </c>
      <c r="G17">
        <f t="shared" si="2"/>
        <v>93.117138702855129</v>
      </c>
      <c r="H17">
        <f t="shared" si="3"/>
        <v>0.1328612971448706</v>
      </c>
    </row>
    <row r="18" spans="1:9" x14ac:dyDescent="0.25">
      <c r="A18">
        <v>1.32</v>
      </c>
      <c r="B18">
        <v>93.41</v>
      </c>
      <c r="C18">
        <f t="shared" si="0"/>
        <v>123.30119999999999</v>
      </c>
      <c r="D18">
        <f t="shared" si="1"/>
        <v>1.7424000000000002</v>
      </c>
      <c r="G18">
        <f t="shared" si="2"/>
        <v>94.013987486781801</v>
      </c>
      <c r="H18">
        <f t="shared" si="3"/>
        <v>-0.60398748678180425</v>
      </c>
    </row>
    <row r="19" spans="1:9" x14ac:dyDescent="0.25">
      <c r="A19">
        <v>1.43</v>
      </c>
      <c r="B19">
        <v>94.98</v>
      </c>
      <c r="C19">
        <f t="shared" si="0"/>
        <v>135.82140000000001</v>
      </c>
      <c r="D19">
        <f t="shared" si="1"/>
        <v>2.0448999999999997</v>
      </c>
      <c r="G19">
        <f t="shared" si="2"/>
        <v>95.658210257314053</v>
      </c>
      <c r="H19">
        <f t="shared" si="3"/>
        <v>-0.67821025731404916</v>
      </c>
    </row>
    <row r="20" spans="1:9" x14ac:dyDescent="0.25">
      <c r="A20">
        <v>0.95</v>
      </c>
      <c r="B20">
        <v>87.33</v>
      </c>
      <c r="C20">
        <f t="shared" si="0"/>
        <v>82.963499999999996</v>
      </c>
      <c r="D20">
        <f t="shared" si="1"/>
        <v>0.90249999999999997</v>
      </c>
      <c r="G20">
        <f t="shared" si="2"/>
        <v>88.483419985900611</v>
      </c>
      <c r="H20">
        <f t="shared" si="3"/>
        <v>-1.1534199859006122</v>
      </c>
    </row>
    <row r="21" spans="1:9" x14ac:dyDescent="0.25">
      <c r="A21">
        <f>SUM(A1:A20)</f>
        <v>23.92</v>
      </c>
      <c r="B21">
        <f>SUM(B1:B20)</f>
        <v>1843.21</v>
      </c>
      <c r="C21">
        <f>SUM(C1:C20)</f>
        <v>2214.6565999999998</v>
      </c>
      <c r="D21">
        <f>SUM(D1:D20)</f>
        <v>29.289200000000001</v>
      </c>
      <c r="E21" t="s">
        <v>5</v>
      </c>
      <c r="F21">
        <f>(C21-(A21*B21)/20)/(D21-(A21^2)/20)</f>
        <v>14.947479732111322</v>
      </c>
      <c r="H21">
        <f>SUM(H1:H20)</f>
        <v>0</v>
      </c>
      <c r="I21" t="s">
        <v>6</v>
      </c>
    </row>
    <row r="22" spans="1:9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>
        <f>B21/20-F21*A21/20</f>
        <v>74.283314240394859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Bsc 2</dc:creator>
  <cp:lastModifiedBy>Bsc 2</cp:lastModifiedBy>
  <dcterms:created xsi:type="dcterms:W3CDTF">2024-09-20T08:06:11Z</dcterms:created>
  <dcterms:modified xsi:type="dcterms:W3CDTF">2024-09-20T08:22:49Z</dcterms:modified>
</cp:coreProperties>
</file>